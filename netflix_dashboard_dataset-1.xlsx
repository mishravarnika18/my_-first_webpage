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Mani project\"/>
    </mc:Choice>
  </mc:AlternateContent>
  <bookViews>
    <workbookView xWindow="0" yWindow="0" windowWidth="23040" windowHeight="9372" activeTab="1"/>
  </bookViews>
  <sheets>
    <sheet name="Netflix Dashboard Data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M57" i="2" l="1"/>
  <c r="M56" i="2"/>
  <c r="M55" i="2"/>
  <c r="M54" i="2"/>
  <c r="M53" i="2"/>
  <c r="M52" i="2"/>
  <c r="M51" i="2"/>
  <c r="M50" i="2"/>
  <c r="H59" i="2"/>
  <c r="H58" i="2"/>
  <c r="H57" i="2"/>
  <c r="H56" i="2"/>
  <c r="H55" i="2"/>
  <c r="H54" i="2"/>
  <c r="H53" i="2"/>
  <c r="H52" i="2"/>
  <c r="H51" i="2"/>
  <c r="H50" i="2"/>
  <c r="D34" i="1"/>
  <c r="D33" i="1"/>
  <c r="D32" i="1"/>
  <c r="D31" i="1"/>
  <c r="D30" i="1"/>
  <c r="D29" i="1"/>
  <c r="D28" i="1"/>
  <c r="D27" i="1"/>
  <c r="D26" i="1"/>
  <c r="D25" i="1"/>
  <c r="D21" i="1"/>
  <c r="D20" i="1"/>
  <c r="D19" i="1"/>
  <c r="D18" i="1"/>
  <c r="D17" i="1"/>
  <c r="D16" i="1"/>
  <c r="D15" i="1"/>
  <c r="D14" i="1"/>
</calcChain>
</file>

<file path=xl/sharedStrings.xml><?xml version="1.0" encoding="utf-8"?>
<sst xmlns="http://schemas.openxmlformats.org/spreadsheetml/2006/main" count="97" uniqueCount="49">
  <si>
    <t>Netflix Content &amp; Metrics Dashboard Dataset</t>
  </si>
  <si>
    <t>Key Performance Indicators (KPIs)</t>
  </si>
  <si>
    <t>Metric</t>
  </si>
  <si>
    <t>Current Value</t>
  </si>
  <si>
    <t>Growth vs Last Year</t>
  </si>
  <si>
    <t>Total Movies</t>
  </si>
  <si>
    <t>Total TV Shows</t>
  </si>
  <si>
    <t>Total Content Items</t>
  </si>
  <si>
    <t>Average Rating</t>
  </si>
  <si>
    <t>Global Countries Present</t>
  </si>
  <si>
    <t>Content Trends by Year</t>
  </si>
  <si>
    <t>Year</t>
  </si>
  <si>
    <t>Movies Released</t>
  </si>
  <si>
    <t>TV Shows Released</t>
  </si>
  <si>
    <t>Total Content</t>
  </si>
  <si>
    <t>Top 10 Genres Distribution</t>
  </si>
  <si>
    <t>Rank</t>
  </si>
  <si>
    <t>Genre</t>
  </si>
  <si>
    <t>Content Count</t>
  </si>
  <si>
    <t>Percentage of Total</t>
  </si>
  <si>
    <t>Action</t>
  </si>
  <si>
    <t>Drama</t>
  </si>
  <si>
    <t>Comedy</t>
  </si>
  <si>
    <t>Thriller</t>
  </si>
  <si>
    <t>Crime</t>
  </si>
  <si>
    <t>Horror</t>
  </si>
  <si>
    <t>Mystery</t>
  </si>
  <si>
    <t>Romance</t>
  </si>
  <si>
    <t>Documentary</t>
  </si>
  <si>
    <t>Sci-Fi</t>
  </si>
  <si>
    <t>Geographic Content Distribution</t>
  </si>
  <si>
    <t>Country</t>
  </si>
  <si>
    <t>Titles Count</t>
  </si>
  <si>
    <t>USA</t>
  </si>
  <si>
    <t>India</t>
  </si>
  <si>
    <t>UK</t>
  </si>
  <si>
    <t>Canada</t>
  </si>
  <si>
    <t>Spain</t>
  </si>
  <si>
    <t>Germany</t>
  </si>
  <si>
    <t>France</t>
  </si>
  <si>
    <t>Others</t>
  </si>
  <si>
    <t>User Rating Distribution</t>
  </si>
  <si>
    <t>Rating Range</t>
  </si>
  <si>
    <t>Number of Titles</t>
  </si>
  <si>
    <t>1-2</t>
  </si>
  <si>
    <t>3-4</t>
  </si>
  <si>
    <t>5-6</t>
  </si>
  <si>
    <t>7-8</t>
  </si>
  <si>
    <t>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</si>
</sst>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+0%;\-0%;0%"/>
    <numFmt numFmtId="165" formatCode="0.0"/>
    <numFmt numFmtId="166" formatCode="\+0.0%;\-0.0%;0.0%"/>
    <numFmt numFmtId="167" formatCode="0.0%"/>
  </numFmts>
  <fonts count="5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6"/>
      <color rgb="FFFF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right"/>
    </xf>
    <xf numFmtId="0" fontId="4" fillId="0" borderId="0" xfId="0" applyFont="1" applyAlignment="1"/>
    <xf numFmtId="0" fontId="4" fillId="0" borderId="2" xfId="0" applyFont="1" applyBorder="1" applyAlignment="1"/>
    <xf numFmtId="0" fontId="0" fillId="0" borderId="2" xfId="0" applyBorder="1">
      <alignment vertic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0" fontId="3" fillId="3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0" fillId="0" borderId="0" xfId="0">
      <alignment vertical="center"/>
    </xf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Key Performance Indicators (KPIs)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'Netflix Dashboard Data'!$B$4</c:f>
              <c:strCache>
                <c:ptCount val="1"/>
                <c:pt idx="0">
                  <c:v>Current Value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'Netflix Dashboard Data'!$A$5:$A$9</c:f>
              <c:strCache>
                <c:ptCount val="5"/>
                <c:pt idx="0">
                  <c:v>Total Movies</c:v>
                </c:pt>
                <c:pt idx="1">
                  <c:v>Total TV Shows</c:v>
                </c:pt>
                <c:pt idx="2">
                  <c:v>Total Content Items</c:v>
                </c:pt>
                <c:pt idx="3">
                  <c:v>Average Rating</c:v>
                </c:pt>
                <c:pt idx="4">
                  <c:v>Global Countries Present</c:v>
                </c:pt>
              </c:strCache>
            </c:strRef>
          </c:cat>
          <c:val>
            <c:numRef>
              <c:f>'Netflix Dashboard Data'!$B$5:$B$9</c:f>
              <c:numCache>
                <c:formatCode>#,##0</c:formatCode>
                <c:ptCount val="5"/>
                <c:pt idx="0">
                  <c:v>6200</c:v>
                </c:pt>
                <c:pt idx="1">
                  <c:v>2700</c:v>
                </c:pt>
                <c:pt idx="2">
                  <c:v>8900</c:v>
                </c:pt>
                <c:pt idx="3" formatCode="0.0">
                  <c:v>7.2</c:v>
                </c:pt>
                <c:pt idx="4">
                  <c:v>120</c:v>
                </c:pt>
              </c:numCache>
            </c:numRef>
          </c:val>
        </c:ser>
        <c:ser>
          <c:idx val="1"/>
          <c:order val="1"/>
          <c:tx>
            <c:strRef>
              <c:f>'Netflix Dashboard Data'!$C$4</c:f>
              <c:strCache>
                <c:ptCount val="1"/>
                <c:pt idx="0">
                  <c:v>Growth vs Last Year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'Netflix Dashboard Data'!$A$5:$A$9</c:f>
              <c:strCache>
                <c:ptCount val="5"/>
                <c:pt idx="0">
                  <c:v>Total Movies</c:v>
                </c:pt>
                <c:pt idx="1">
                  <c:v>Total TV Shows</c:v>
                </c:pt>
                <c:pt idx="2">
                  <c:v>Total Content Items</c:v>
                </c:pt>
                <c:pt idx="3">
                  <c:v>Average Rating</c:v>
                </c:pt>
                <c:pt idx="4">
                  <c:v>Global Countries Present</c:v>
                </c:pt>
              </c:strCache>
            </c:strRef>
          </c:cat>
          <c:val>
            <c:numRef>
              <c:f>'Netflix Dashboard Data'!$C$5:$C$9</c:f>
              <c:numCache>
                <c:formatCode>\+0%;\-0%;0%</c:formatCode>
                <c:ptCount val="5"/>
                <c:pt idx="0">
                  <c:v>0.12</c:v>
                </c:pt>
                <c:pt idx="1">
                  <c:v>0.18</c:v>
                </c:pt>
                <c:pt idx="2">
                  <c:v>0.14000000000000001</c:v>
                </c:pt>
                <c:pt idx="3" formatCode="\+0.0%;\-0.0%;0.0%">
                  <c:v>0.03</c:v>
                </c:pt>
                <c:pt idx="4">
                  <c:v>0.06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Rating Distribution</a:t>
            </a:r>
          </a:p>
        </c:rich>
      </c:tx>
      <c:layout>
        <c:manualLayout>
          <c:xMode val="edge"/>
          <c:yMode val="edge"/>
          <c:x val="0.3197611407191695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Sheet1!$J$41</c:f>
              <c:strCache>
                <c:ptCount val="1"/>
                <c:pt idx="0">
                  <c:v>Number of Titles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Sheet1!$I$42:$I$46</c:f>
              <c:strCache>
                <c:ptCount val="5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</c:strCache>
            </c:strRef>
          </c:cat>
          <c:val>
            <c:numRef>
              <c:f>Sheet1!$J$42:$J$46</c:f>
              <c:numCache>
                <c:formatCode>#,##0</c:formatCode>
                <c:ptCount val="5"/>
                <c:pt idx="0">
                  <c:v>420</c:v>
                </c:pt>
                <c:pt idx="1">
                  <c:v>870</c:v>
                </c:pt>
                <c:pt idx="2">
                  <c:v>1620</c:v>
                </c:pt>
                <c:pt idx="3">
                  <c:v>1980</c:v>
                </c:pt>
                <c:pt idx="4">
                  <c:v>1010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249120"/>
        <c:axId val="1548248032"/>
      </c:lineChart>
      <c:catAx>
        <c:axId val="15482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8032"/>
        <c:crosses val="autoZero"/>
        <c:auto val="1"/>
        <c:lblAlgn val="ctr"/>
        <c:lblOffset val="100"/>
        <c:noMultiLvlLbl val="0"/>
      </c:catAx>
      <c:valAx>
        <c:axId val="15482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Sheet1!$G$48:$G$49</c:f>
              <c:strCache>
                <c:ptCount val="2"/>
                <c:pt idx="0">
                  <c:v>Top 10 Genres Distribution</c:v>
                </c:pt>
                <c:pt idx="1">
                  <c:v>Content Count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Sheet1!$E$50:$F$59</c:f>
              <c:multiLvlStrCache>
                <c:ptCount val="10"/>
                <c:lvl>
                  <c:pt idx="0">
                    <c:v>Action</c:v>
                  </c:pt>
                  <c:pt idx="1">
                    <c:v>Drama</c:v>
                  </c:pt>
                  <c:pt idx="2">
                    <c:v>Comedy</c:v>
                  </c:pt>
                  <c:pt idx="3">
                    <c:v>Thriller</c:v>
                  </c:pt>
                  <c:pt idx="4">
                    <c:v>Crime</c:v>
                  </c:pt>
                  <c:pt idx="5">
                    <c:v>Horror</c:v>
                  </c:pt>
                  <c:pt idx="6">
                    <c:v>Mystery</c:v>
                  </c:pt>
                  <c:pt idx="7">
                    <c:v>Romance</c:v>
                  </c:pt>
                  <c:pt idx="8">
                    <c:v>Documentary</c:v>
                  </c:pt>
                  <c:pt idx="9">
                    <c:v>Sci-Fi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Sheet1!$G$50:$G$59</c:f>
              <c:numCache>
                <c:formatCode>#,##0</c:formatCode>
                <c:ptCount val="10"/>
                <c:pt idx="0">
                  <c:v>1320</c:v>
                </c:pt>
                <c:pt idx="1">
                  <c:v>1210</c:v>
                </c:pt>
                <c:pt idx="2">
                  <c:v>980</c:v>
                </c:pt>
                <c:pt idx="3">
                  <c:v>760</c:v>
                </c:pt>
                <c:pt idx="4">
                  <c:v>680</c:v>
                </c:pt>
                <c:pt idx="5">
                  <c:v>520</c:v>
                </c:pt>
                <c:pt idx="6">
                  <c:v>460</c:v>
                </c:pt>
                <c:pt idx="7">
                  <c:v>420</c:v>
                </c:pt>
                <c:pt idx="8">
                  <c:v>310</c:v>
                </c:pt>
                <c:pt idx="9">
                  <c:v>280</c:v>
                </c:pt>
              </c:numCache>
            </c:numRef>
          </c:val>
        </c:ser>
        <c:ser>
          <c:idx val="1"/>
          <c:order val="1"/>
          <c:tx>
            <c:strRef>
              <c:f>Sheet1!$H$48:$H$49</c:f>
              <c:strCache>
                <c:ptCount val="2"/>
                <c:pt idx="0">
                  <c:v>Top 10 Genres Distribution</c:v>
                </c:pt>
                <c:pt idx="1">
                  <c:v>Percentage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Sheet1!$E$50:$F$59</c:f>
              <c:multiLvlStrCache>
                <c:ptCount val="10"/>
                <c:lvl>
                  <c:pt idx="0">
                    <c:v>Action</c:v>
                  </c:pt>
                  <c:pt idx="1">
                    <c:v>Drama</c:v>
                  </c:pt>
                  <c:pt idx="2">
                    <c:v>Comedy</c:v>
                  </c:pt>
                  <c:pt idx="3">
                    <c:v>Thriller</c:v>
                  </c:pt>
                  <c:pt idx="4">
                    <c:v>Crime</c:v>
                  </c:pt>
                  <c:pt idx="5">
                    <c:v>Horror</c:v>
                  </c:pt>
                  <c:pt idx="6">
                    <c:v>Mystery</c:v>
                  </c:pt>
                  <c:pt idx="7">
                    <c:v>Romance</c:v>
                  </c:pt>
                  <c:pt idx="8">
                    <c:v>Documentary</c:v>
                  </c:pt>
                  <c:pt idx="9">
                    <c:v>Sci-Fi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Sheet1!$H$50:$H$59</c:f>
              <c:numCache>
                <c:formatCode>0.0%</c:formatCode>
                <c:ptCount val="10"/>
                <c:pt idx="0">
                  <c:v>0.14831460674157304</c:v>
                </c:pt>
                <c:pt idx="1">
                  <c:v>0.13595505617977527</c:v>
                </c:pt>
                <c:pt idx="2">
                  <c:v>0.1101123595505618</c:v>
                </c:pt>
                <c:pt idx="3">
                  <c:v>8.5393258426966295E-2</c:v>
                </c:pt>
                <c:pt idx="4">
                  <c:v>7.6404494382022473E-2</c:v>
                </c:pt>
                <c:pt idx="5">
                  <c:v>5.8426966292134834E-2</c:v>
                </c:pt>
                <c:pt idx="6">
                  <c:v>5.1685393258426963E-2</c:v>
                </c:pt>
                <c:pt idx="7">
                  <c:v>4.7191011235955059E-2</c:v>
                </c:pt>
                <c:pt idx="8">
                  <c:v>3.4831460674157301E-2</c:v>
                </c:pt>
                <c:pt idx="9">
                  <c:v>3.1460674157303373E-2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242592"/>
        <c:axId val="1548243680"/>
      </c:barChart>
      <c:catAx>
        <c:axId val="154824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3680"/>
        <c:crosses val="autoZero"/>
        <c:auto val="1"/>
        <c:lblAlgn val="ctr"/>
        <c:lblOffset val="100"/>
        <c:noMultiLvlLbl val="0"/>
      </c:catAx>
      <c:valAx>
        <c:axId val="15482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Content Trends by Year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Sheet1!$J$49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Sheet1!$J$50:$J$57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val>
        </c:ser>
        <c:ser>
          <c:idx val="1"/>
          <c:order val="1"/>
          <c:tx>
            <c:strRef>
              <c:f>Sheet1!$K$49</c:f>
              <c:strCache>
                <c:ptCount val="1"/>
                <c:pt idx="0">
                  <c:v>Movies Released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Sheet1!$K$50:$K$57</c:f>
              <c:numCache>
                <c:formatCode>#,##0</c:formatCode>
                <c:ptCount val="8"/>
                <c:pt idx="0">
                  <c:v>250</c:v>
                </c:pt>
                <c:pt idx="1">
                  <c:v>410</c:v>
                </c:pt>
                <c:pt idx="2">
                  <c:v>580</c:v>
                </c:pt>
                <c:pt idx="3">
                  <c:v>730</c:v>
                </c:pt>
                <c:pt idx="4">
                  <c:v>850</c:v>
                </c:pt>
                <c:pt idx="5">
                  <c:v>980</c:v>
                </c:pt>
                <c:pt idx="6">
                  <c:v>1150</c:v>
                </c:pt>
                <c:pt idx="7">
                  <c:v>1250</c:v>
                </c:pt>
              </c:numCache>
            </c:numRef>
          </c:val>
        </c:ser>
        <c:ser>
          <c:idx val="2"/>
          <c:order val="2"/>
          <c:tx>
            <c:strRef>
              <c:f>Sheet1!$L$49</c:f>
              <c:strCache>
                <c:ptCount val="1"/>
                <c:pt idx="0">
                  <c:v>TV Shows Released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Sheet1!$L$50:$L$57</c:f>
              <c:numCache>
                <c:formatCode>#,##0</c:formatCode>
                <c:ptCount val="8"/>
                <c:pt idx="0">
                  <c:v>120</c:v>
                </c:pt>
                <c:pt idx="1">
                  <c:v>190</c:v>
                </c:pt>
                <c:pt idx="2">
                  <c:v>280</c:v>
                </c:pt>
                <c:pt idx="3">
                  <c:v>390</c:v>
                </c:pt>
                <c:pt idx="4">
                  <c:v>480</c:v>
                </c:pt>
                <c:pt idx="5">
                  <c:v>610</c:v>
                </c:pt>
                <c:pt idx="6">
                  <c:v>780</c:v>
                </c:pt>
                <c:pt idx="7">
                  <c:v>850</c:v>
                </c:pt>
              </c:numCache>
            </c:numRef>
          </c:val>
        </c:ser>
        <c:ser>
          <c:idx val="3"/>
          <c:order val="3"/>
          <c:tx>
            <c:strRef>
              <c:f>Sheet1!$M$49</c:f>
              <c:strCache>
                <c:ptCount val="1"/>
                <c:pt idx="0">
                  <c:v>Total Content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Sheet1!$M$50:$M$57</c:f>
              <c:numCache>
                <c:formatCode>#,##0</c:formatCode>
                <c:ptCount val="8"/>
                <c:pt idx="0">
                  <c:v>370</c:v>
                </c:pt>
                <c:pt idx="1">
                  <c:v>600</c:v>
                </c:pt>
                <c:pt idx="2">
                  <c:v>860</c:v>
                </c:pt>
                <c:pt idx="3">
                  <c:v>1120</c:v>
                </c:pt>
                <c:pt idx="4">
                  <c:v>1330</c:v>
                </c:pt>
                <c:pt idx="5">
                  <c:v>1590</c:v>
                </c:pt>
                <c:pt idx="6">
                  <c:v>1930</c:v>
                </c:pt>
                <c:pt idx="7">
                  <c:v>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248576"/>
        <c:axId val="1548242048"/>
      </c:barChart>
      <c:catAx>
        <c:axId val="154824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2048"/>
        <c:crosses val="autoZero"/>
        <c:auto val="1"/>
        <c:lblAlgn val="ctr"/>
        <c:lblOffset val="100"/>
        <c:noMultiLvlLbl val="0"/>
      </c:catAx>
      <c:valAx>
        <c:axId val="154824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586740</xdr:colOff>
      <xdr:row>15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30480</xdr:colOff>
      <xdr:row>15</xdr:row>
      <xdr:rowOff>30480</xdr:rowOff>
    </xdr:from>
    <xdr:to>
      <xdr:col>11</xdr:col>
      <xdr:colOff>160020</xdr:colOff>
      <xdr:row>30</xdr:row>
      <xdr:rowOff>22860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7680" y="2773680"/>
          <a:ext cx="4640580" cy="2735580"/>
        </a:xfrm>
        <a:prstGeom prst="rect">
          <a:avLst/>
        </a:prstGeom>
      </xdr:spPr>
    </xdr:pic>
    <xdr:clientData/>
  </xdr:twoCellAnchor>
  <xdr:oneCellAnchor>
    <xdr:from>
      <xdr:col>8</xdr:col>
      <xdr:colOff>388620</xdr:colOff>
      <xdr:row>15</xdr:row>
      <xdr:rowOff>15240</xdr:rowOff>
    </xdr:from>
    <xdr:ext cx="2080260" cy="144780"/>
    <xdr:sp macro="" textlink="">
      <xdr:nvSpPr>
        <xdr:cNvPr id="7" name="TextBox 6"/>
        <xdr:cNvSpPr txBox="1"/>
      </xdr:nvSpPr>
      <xdr:spPr>
        <a:xfrm>
          <a:off x="5265420" y="2758440"/>
          <a:ext cx="2080260" cy="14478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100" b="1">
              <a:solidFill>
                <a:schemeClr val="bg1"/>
              </a:solidFill>
            </a:rPr>
            <a:t>Geographic Content Distribution</a:t>
          </a:r>
        </a:p>
      </xdr:txBody>
    </xdr:sp>
    <xdr:clientData/>
  </xdr:oneCellAnchor>
  <xdr:twoCellAnchor>
    <xdr:from>
      <xdr:col>0</xdr:col>
      <xdr:colOff>7620</xdr:colOff>
      <xdr:row>30</xdr:row>
      <xdr:rowOff>30480</xdr:rowOff>
    </xdr:from>
    <xdr:to>
      <xdr:col>6</xdr:col>
      <xdr:colOff>594360</xdr:colOff>
      <xdr:row>45</xdr:row>
      <xdr:rowOff>30480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7620</xdr:rowOff>
    </xdr:from>
    <xdr:to>
      <xdr:col>6</xdr:col>
      <xdr:colOff>601980</xdr:colOff>
      <xdr:row>30</xdr:row>
      <xdr:rowOff>7620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15240</xdr:colOff>
      <xdr:row>0</xdr:row>
      <xdr:rowOff>0</xdr:rowOff>
    </xdr:from>
    <xdr:to>
      <xdr:col>13</xdr:col>
      <xdr:colOff>586740</xdr:colOff>
      <xdr:row>15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zoomScaleNormal="100" workbookViewId="0">
      <selection activeCell="A3" sqref="A3:C9"/>
    </sheetView>
  </sheetViews>
  <sheetFormatPr defaultColWidth="10" defaultRowHeight="14.4"/>
  <cols>
    <col min="1" max="1" width="37" customWidth="1"/>
    <col min="2" max="2" width="20" customWidth="1"/>
    <col min="3" max="4" width="23" customWidth="1"/>
    <col min="5" max="5" width="15" customWidth="1"/>
  </cols>
  <sheetData>
    <row r="1" spans="1:5" ht="30" customHeight="1">
      <c r="A1" s="18" t="s">
        <v>0</v>
      </c>
      <c r="B1" s="19"/>
      <c r="C1" s="19"/>
      <c r="D1" s="19"/>
      <c r="E1" s="19"/>
    </row>
    <row r="3" spans="1:5">
      <c r="A3" s="9" t="s">
        <v>1</v>
      </c>
    </row>
    <row r="4" spans="1:5">
      <c r="A4" s="1" t="s">
        <v>2</v>
      </c>
      <c r="B4" s="1" t="s">
        <v>3</v>
      </c>
      <c r="C4" s="1" t="s">
        <v>4</v>
      </c>
    </row>
    <row r="5" spans="1:5">
      <c r="A5" s="2" t="s">
        <v>5</v>
      </c>
      <c r="B5" s="3">
        <v>6200</v>
      </c>
      <c r="C5" s="4">
        <v>0.12</v>
      </c>
    </row>
    <row r="6" spans="1:5">
      <c r="A6" s="2" t="s">
        <v>6</v>
      </c>
      <c r="B6" s="3">
        <v>2700</v>
      </c>
      <c r="C6" s="4">
        <v>0.18</v>
      </c>
    </row>
    <row r="7" spans="1:5">
      <c r="A7" s="2" t="s">
        <v>7</v>
      </c>
      <c r="B7" s="3">
        <v>8900</v>
      </c>
      <c r="C7" s="4">
        <v>0.14000000000000001</v>
      </c>
    </row>
    <row r="8" spans="1:5">
      <c r="A8" s="2" t="s">
        <v>8</v>
      </c>
      <c r="B8" s="5">
        <v>7.2</v>
      </c>
      <c r="C8" s="6">
        <v>0.03</v>
      </c>
    </row>
    <row r="9" spans="1:5">
      <c r="A9" s="2" t="s">
        <v>9</v>
      </c>
      <c r="B9" s="3">
        <v>120</v>
      </c>
      <c r="C9" s="4">
        <v>0.06</v>
      </c>
    </row>
    <row r="12" spans="1:5">
      <c r="A12" s="9" t="s">
        <v>10</v>
      </c>
    </row>
    <row r="13" spans="1:5">
      <c r="A13" s="1" t="s">
        <v>11</v>
      </c>
      <c r="B13" s="1" t="s">
        <v>12</v>
      </c>
      <c r="C13" s="1" t="s">
        <v>13</v>
      </c>
      <c r="D13" s="1" t="s">
        <v>14</v>
      </c>
    </row>
    <row r="14" spans="1:5">
      <c r="A14" s="7">
        <v>2016</v>
      </c>
      <c r="B14" s="3">
        <v>250</v>
      </c>
      <c r="C14" s="3">
        <v>120</v>
      </c>
      <c r="D14" s="3">
        <f t="shared" ref="D14:D21" si="0">B14+C14</f>
        <v>370</v>
      </c>
    </row>
    <row r="15" spans="1:5">
      <c r="A15" s="7">
        <v>2017</v>
      </c>
      <c r="B15" s="3">
        <v>410</v>
      </c>
      <c r="C15" s="3">
        <v>190</v>
      </c>
      <c r="D15" s="3">
        <f t="shared" si="0"/>
        <v>600</v>
      </c>
    </row>
    <row r="16" spans="1:5">
      <c r="A16" s="7">
        <v>2018</v>
      </c>
      <c r="B16" s="3">
        <v>580</v>
      </c>
      <c r="C16" s="3">
        <v>280</v>
      </c>
      <c r="D16" s="3">
        <f t="shared" si="0"/>
        <v>860</v>
      </c>
    </row>
    <row r="17" spans="1:4">
      <c r="A17" s="7">
        <v>2019</v>
      </c>
      <c r="B17" s="3">
        <v>730</v>
      </c>
      <c r="C17" s="3">
        <v>390</v>
      </c>
      <c r="D17" s="3">
        <f t="shared" si="0"/>
        <v>1120</v>
      </c>
    </row>
    <row r="18" spans="1:4">
      <c r="A18" s="7">
        <v>2020</v>
      </c>
      <c r="B18" s="3">
        <v>850</v>
      </c>
      <c r="C18" s="3">
        <v>480</v>
      </c>
      <c r="D18" s="3">
        <f t="shared" si="0"/>
        <v>1330</v>
      </c>
    </row>
    <row r="19" spans="1:4">
      <c r="A19" s="7">
        <v>2021</v>
      </c>
      <c r="B19" s="3">
        <v>980</v>
      </c>
      <c r="C19" s="3">
        <v>610</v>
      </c>
      <c r="D19" s="3">
        <f t="shared" si="0"/>
        <v>1590</v>
      </c>
    </row>
    <row r="20" spans="1:4">
      <c r="A20" s="7">
        <v>2022</v>
      </c>
      <c r="B20" s="3">
        <v>1150</v>
      </c>
      <c r="C20" s="3">
        <v>780</v>
      </c>
      <c r="D20" s="3">
        <f t="shared" si="0"/>
        <v>1930</v>
      </c>
    </row>
    <row r="21" spans="1:4">
      <c r="A21" s="7">
        <v>2023</v>
      </c>
      <c r="B21" s="3">
        <v>1250</v>
      </c>
      <c r="C21" s="3">
        <v>850</v>
      </c>
      <c r="D21" s="3">
        <f t="shared" si="0"/>
        <v>2100</v>
      </c>
    </row>
    <row r="23" spans="1:4">
      <c r="A23" s="9" t="s">
        <v>15</v>
      </c>
    </row>
    <row r="24" spans="1:4">
      <c r="A24" s="1" t="s">
        <v>16</v>
      </c>
      <c r="B24" s="1" t="s">
        <v>17</v>
      </c>
      <c r="C24" s="1" t="s">
        <v>18</v>
      </c>
      <c r="D24" s="1" t="s">
        <v>19</v>
      </c>
    </row>
    <row r="25" spans="1:4">
      <c r="A25" s="7">
        <v>1</v>
      </c>
      <c r="B25" s="2" t="s">
        <v>20</v>
      </c>
      <c r="C25" s="3">
        <v>1320</v>
      </c>
      <c r="D25" s="8">
        <f t="shared" ref="D25:D34" si="1">C25/8900</f>
        <v>0.14831460674157304</v>
      </c>
    </row>
    <row r="26" spans="1:4">
      <c r="A26" s="7">
        <v>2</v>
      </c>
      <c r="B26" s="2" t="s">
        <v>21</v>
      </c>
      <c r="C26" s="3">
        <v>1210</v>
      </c>
      <c r="D26" s="8">
        <f t="shared" si="1"/>
        <v>0.13595505617977527</v>
      </c>
    </row>
    <row r="27" spans="1:4">
      <c r="A27" s="7">
        <v>3</v>
      </c>
      <c r="B27" s="2" t="s">
        <v>22</v>
      </c>
      <c r="C27" s="3">
        <v>980</v>
      </c>
      <c r="D27" s="8">
        <f t="shared" si="1"/>
        <v>0.1101123595505618</v>
      </c>
    </row>
    <row r="28" spans="1:4">
      <c r="A28" s="7">
        <v>4</v>
      </c>
      <c r="B28" s="2" t="s">
        <v>23</v>
      </c>
      <c r="C28" s="3">
        <v>760</v>
      </c>
      <c r="D28" s="8">
        <f t="shared" si="1"/>
        <v>8.5393258426966295E-2</v>
      </c>
    </row>
    <row r="29" spans="1:4">
      <c r="A29" s="7">
        <v>5</v>
      </c>
      <c r="B29" s="2" t="s">
        <v>24</v>
      </c>
      <c r="C29" s="3">
        <v>680</v>
      </c>
      <c r="D29" s="8">
        <f t="shared" si="1"/>
        <v>7.6404494382022473E-2</v>
      </c>
    </row>
    <row r="30" spans="1:4">
      <c r="A30" s="7">
        <v>6</v>
      </c>
      <c r="B30" s="2" t="s">
        <v>25</v>
      </c>
      <c r="C30" s="3">
        <v>520</v>
      </c>
      <c r="D30" s="8">
        <f t="shared" si="1"/>
        <v>5.8426966292134834E-2</v>
      </c>
    </row>
    <row r="31" spans="1:4">
      <c r="A31" s="7">
        <v>7</v>
      </c>
      <c r="B31" s="2" t="s">
        <v>26</v>
      </c>
      <c r="C31" s="3">
        <v>460</v>
      </c>
      <c r="D31" s="8">
        <f t="shared" si="1"/>
        <v>5.1685393258426963E-2</v>
      </c>
    </row>
    <row r="32" spans="1:4">
      <c r="A32" s="7">
        <v>8</v>
      </c>
      <c r="B32" s="2" t="s">
        <v>27</v>
      </c>
      <c r="C32" s="3">
        <v>420</v>
      </c>
      <c r="D32" s="8">
        <f t="shared" si="1"/>
        <v>4.7191011235955059E-2</v>
      </c>
    </row>
    <row r="33" spans="1:4">
      <c r="A33" s="7">
        <v>9</v>
      </c>
      <c r="B33" s="2" t="s">
        <v>28</v>
      </c>
      <c r="C33" s="3">
        <v>310</v>
      </c>
      <c r="D33" s="8">
        <f t="shared" si="1"/>
        <v>3.4831460674157301E-2</v>
      </c>
    </row>
    <row r="34" spans="1:4">
      <c r="A34" s="7">
        <v>10</v>
      </c>
      <c r="B34" s="2" t="s">
        <v>29</v>
      </c>
      <c r="C34" s="3">
        <v>280</v>
      </c>
      <c r="D34" s="8">
        <f t="shared" si="1"/>
        <v>3.1460674157303373E-2</v>
      </c>
    </row>
    <row r="36" spans="1:4">
      <c r="A36" s="9" t="s">
        <v>30</v>
      </c>
    </row>
    <row r="37" spans="1:4">
      <c r="A37" s="1" t="s">
        <v>31</v>
      </c>
      <c r="B37" s="1" t="s">
        <v>32</v>
      </c>
    </row>
    <row r="38" spans="1:4">
      <c r="A38" s="2" t="s">
        <v>33</v>
      </c>
      <c r="B38" s="3">
        <v>2420</v>
      </c>
    </row>
    <row r="39" spans="1:4">
      <c r="A39" s="2" t="s">
        <v>34</v>
      </c>
      <c r="B39" s="3">
        <v>1080</v>
      </c>
    </row>
    <row r="40" spans="1:4">
      <c r="A40" s="2" t="s">
        <v>35</v>
      </c>
      <c r="B40" s="3">
        <v>620</v>
      </c>
    </row>
    <row r="41" spans="1:4">
      <c r="A41" s="2" t="s">
        <v>36</v>
      </c>
      <c r="B41" s="3">
        <v>420</v>
      </c>
    </row>
    <row r="42" spans="1:4">
      <c r="A42" s="2" t="s">
        <v>37</v>
      </c>
      <c r="B42" s="3">
        <v>310</v>
      </c>
    </row>
    <row r="43" spans="1:4">
      <c r="A43" s="2" t="s">
        <v>38</v>
      </c>
      <c r="B43" s="3">
        <v>280</v>
      </c>
    </row>
    <row r="44" spans="1:4">
      <c r="A44" s="2" t="s">
        <v>39</v>
      </c>
      <c r="B44" s="3">
        <v>250</v>
      </c>
    </row>
    <row r="45" spans="1:4">
      <c r="A45" s="2" t="s">
        <v>40</v>
      </c>
      <c r="B45" s="3">
        <v>1500</v>
      </c>
    </row>
    <row r="47" spans="1:4">
      <c r="A47" s="9" t="s">
        <v>41</v>
      </c>
    </row>
    <row r="48" spans="1:4">
      <c r="A48" s="1" t="s">
        <v>42</v>
      </c>
      <c r="B48" s="1" t="s">
        <v>43</v>
      </c>
    </row>
    <row r="49" spans="1:2">
      <c r="A49" s="7" t="s">
        <v>44</v>
      </c>
      <c r="B49" s="3">
        <v>420</v>
      </c>
    </row>
    <row r="50" spans="1:2">
      <c r="A50" s="7" t="s">
        <v>45</v>
      </c>
      <c r="B50" s="3">
        <v>870</v>
      </c>
    </row>
    <row r="51" spans="1:2">
      <c r="A51" s="7" t="s">
        <v>46</v>
      </c>
      <c r="B51" s="3">
        <v>1620</v>
      </c>
    </row>
    <row r="52" spans="1:2">
      <c r="A52" s="7" t="s">
        <v>47</v>
      </c>
      <c r="B52" s="3">
        <v>1980</v>
      </c>
    </row>
    <row r="53" spans="1:2">
      <c r="A53" s="7" t="s">
        <v>48</v>
      </c>
      <c r="B53" s="3">
        <v>1010</v>
      </c>
    </row>
  </sheetData>
  <mergeCells count="1">
    <mergeCell ref="A1:E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topLeftCell="A34" workbookViewId="0">
      <selection activeCell="A48" sqref="A48"/>
    </sheetView>
  </sheetViews>
  <sheetFormatPr defaultRowHeight="14.4"/>
  <cols>
    <col min="9" max="9" width="15" bestFit="1" customWidth="1"/>
    <col min="10" max="10" width="13.44140625" bestFit="1" customWidth="1"/>
    <col min="11" max="11" width="28.44140625" bestFit="1" customWidth="1"/>
    <col min="12" max="12" width="10.88671875" bestFit="1" customWidth="1"/>
    <col min="15" max="15" width="28.44140625" bestFit="1" customWidth="1"/>
    <col min="16" max="16" width="10.88671875" bestFit="1" customWidth="1"/>
  </cols>
  <sheetData>
    <row r="1" spans="1:14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>
      <c r="A31" s="20"/>
      <c r="B31" s="20"/>
      <c r="C31" s="20"/>
      <c r="D31" s="20"/>
      <c r="E31" s="20"/>
      <c r="F31" s="20"/>
      <c r="G31" s="20"/>
    </row>
    <row r="32" spans="1:14">
      <c r="A32" s="20"/>
      <c r="B32" s="20"/>
      <c r="C32" s="20"/>
      <c r="D32" s="20"/>
      <c r="E32" s="20"/>
      <c r="F32" s="20"/>
      <c r="G32" s="20"/>
    </row>
    <row r="33" spans="1:16">
      <c r="A33" s="20"/>
      <c r="B33" s="20"/>
      <c r="C33" s="20"/>
      <c r="D33" s="20"/>
      <c r="E33" s="20"/>
      <c r="F33" s="20"/>
      <c r="G33" s="20"/>
    </row>
    <row r="34" spans="1:16">
      <c r="A34" s="20"/>
      <c r="B34" s="20"/>
      <c r="C34" s="20"/>
      <c r="D34" s="20"/>
      <c r="E34" s="20"/>
      <c r="F34" s="20"/>
      <c r="G34" s="20"/>
    </row>
    <row r="35" spans="1:16">
      <c r="A35" s="20"/>
      <c r="B35" s="20"/>
      <c r="C35" s="20"/>
      <c r="D35" s="20"/>
      <c r="E35" s="20"/>
      <c r="F35" s="20"/>
      <c r="G35" s="20"/>
    </row>
    <row r="36" spans="1:16">
      <c r="A36" s="20"/>
      <c r="B36" s="20"/>
      <c r="C36" s="20"/>
      <c r="D36" s="20"/>
      <c r="E36" s="20"/>
      <c r="F36" s="20"/>
      <c r="G36" s="20"/>
    </row>
    <row r="37" spans="1:16">
      <c r="A37" s="20"/>
      <c r="B37" s="20"/>
      <c r="C37" s="20"/>
      <c r="D37" s="20"/>
      <c r="E37" s="20"/>
      <c r="F37" s="20"/>
      <c r="G37" s="20"/>
    </row>
    <row r="38" spans="1:16">
      <c r="A38" s="20"/>
      <c r="B38" s="20"/>
      <c r="C38" s="20"/>
      <c r="D38" s="20"/>
      <c r="E38" s="20"/>
      <c r="F38" s="20"/>
      <c r="G38" s="20"/>
    </row>
    <row r="39" spans="1:16">
      <c r="A39" s="20"/>
      <c r="B39" s="20"/>
      <c r="C39" s="20"/>
      <c r="D39" s="20"/>
      <c r="E39" s="20"/>
      <c r="F39" s="20"/>
      <c r="G39" s="20"/>
    </row>
    <row r="40" spans="1:16">
      <c r="A40" s="20"/>
      <c r="B40" s="20"/>
      <c r="C40" s="20"/>
      <c r="D40" s="20"/>
      <c r="E40" s="20"/>
      <c r="F40" s="20"/>
      <c r="G40" s="20"/>
      <c r="I40" s="10" t="s">
        <v>41</v>
      </c>
      <c r="J40" s="11"/>
    </row>
    <row r="41" spans="1:16">
      <c r="A41" s="20"/>
      <c r="B41" s="20"/>
      <c r="C41" s="20"/>
      <c r="D41" s="20"/>
      <c r="E41" s="20"/>
      <c r="F41" s="20"/>
      <c r="G41" s="20"/>
      <c r="I41" s="12" t="s">
        <v>42</v>
      </c>
      <c r="J41" s="12" t="s">
        <v>43</v>
      </c>
    </row>
    <row r="42" spans="1:16">
      <c r="A42" s="20"/>
      <c r="B42" s="20"/>
      <c r="C42" s="20"/>
      <c r="D42" s="20"/>
      <c r="E42" s="20"/>
      <c r="F42" s="20"/>
      <c r="G42" s="20"/>
      <c r="I42" s="13" t="s">
        <v>44</v>
      </c>
      <c r="J42" s="14">
        <v>420</v>
      </c>
    </row>
    <row r="43" spans="1:16">
      <c r="A43" s="20"/>
      <c r="B43" s="20"/>
      <c r="C43" s="20"/>
      <c r="D43" s="20"/>
      <c r="E43" s="20"/>
      <c r="F43" s="20"/>
      <c r="G43" s="20"/>
      <c r="I43" s="13" t="s">
        <v>45</v>
      </c>
      <c r="J43" s="14">
        <v>870</v>
      </c>
    </row>
    <row r="44" spans="1:16">
      <c r="A44" s="20"/>
      <c r="B44" s="20"/>
      <c r="C44" s="20"/>
      <c r="D44" s="20"/>
      <c r="E44" s="20"/>
      <c r="F44" s="20"/>
      <c r="G44" s="20"/>
      <c r="I44" s="13" t="s">
        <v>46</v>
      </c>
      <c r="J44" s="14">
        <v>1620</v>
      </c>
    </row>
    <row r="45" spans="1:16">
      <c r="A45" s="20"/>
      <c r="B45" s="20"/>
      <c r="C45" s="20"/>
      <c r="D45" s="20"/>
      <c r="E45" s="20"/>
      <c r="F45" s="20"/>
      <c r="G45" s="20"/>
      <c r="I45" s="13" t="s">
        <v>47</v>
      </c>
      <c r="J45" s="14">
        <v>1980</v>
      </c>
    </row>
    <row r="46" spans="1:16">
      <c r="I46" s="13" t="s">
        <v>48</v>
      </c>
      <c r="J46" s="14">
        <v>1010</v>
      </c>
    </row>
    <row r="48" spans="1:16">
      <c r="A48" s="10" t="s">
        <v>1</v>
      </c>
      <c r="B48" s="11"/>
      <c r="C48" s="11"/>
      <c r="E48" s="10" t="s">
        <v>15</v>
      </c>
      <c r="F48" s="11"/>
      <c r="G48" s="11"/>
      <c r="H48" s="11"/>
      <c r="J48" s="10" t="s">
        <v>10</v>
      </c>
      <c r="K48" s="11"/>
      <c r="L48" s="11"/>
      <c r="M48" s="11"/>
      <c r="O48" s="10" t="s">
        <v>30</v>
      </c>
      <c r="P48" s="11"/>
    </row>
    <row r="49" spans="1:16">
      <c r="A49" s="12" t="s">
        <v>2</v>
      </c>
      <c r="B49" s="12" t="s">
        <v>3</v>
      </c>
      <c r="C49" s="12" t="s">
        <v>4</v>
      </c>
      <c r="E49" s="12" t="s">
        <v>16</v>
      </c>
      <c r="F49" s="12" t="s">
        <v>17</v>
      </c>
      <c r="G49" s="12" t="s">
        <v>18</v>
      </c>
      <c r="H49" s="12" t="s">
        <v>19</v>
      </c>
      <c r="J49" s="12" t="s">
        <v>11</v>
      </c>
      <c r="K49" s="12" t="s">
        <v>12</v>
      </c>
      <c r="L49" s="12" t="s">
        <v>13</v>
      </c>
      <c r="M49" s="12" t="s">
        <v>14</v>
      </c>
      <c r="O49" s="12" t="s">
        <v>31</v>
      </c>
      <c r="P49" s="12" t="s">
        <v>32</v>
      </c>
    </row>
    <row r="50" spans="1:16">
      <c r="A50" s="15" t="s">
        <v>5</v>
      </c>
      <c r="B50" s="16">
        <v>6200</v>
      </c>
      <c r="C50" s="21">
        <v>0.12</v>
      </c>
      <c r="E50" s="13">
        <v>1</v>
      </c>
      <c r="F50" s="15" t="s">
        <v>20</v>
      </c>
      <c r="G50" s="16">
        <v>1320</v>
      </c>
      <c r="H50" s="17">
        <f t="shared" ref="H50:H59" si="0">G50/8900</f>
        <v>0.14831460674157304</v>
      </c>
      <c r="J50" s="13">
        <v>2016</v>
      </c>
      <c r="K50" s="16">
        <v>250</v>
      </c>
      <c r="L50" s="16">
        <v>120</v>
      </c>
      <c r="M50" s="16">
        <f t="shared" ref="M50:M57" si="1">K50+L50</f>
        <v>370</v>
      </c>
      <c r="O50" s="15" t="s">
        <v>33</v>
      </c>
      <c r="P50" s="16">
        <v>2420</v>
      </c>
    </row>
    <row r="51" spans="1:16">
      <c r="A51" s="15" t="s">
        <v>6</v>
      </c>
      <c r="B51" s="16">
        <v>2700</v>
      </c>
      <c r="C51" s="21">
        <v>0.18</v>
      </c>
      <c r="E51" s="13">
        <v>2</v>
      </c>
      <c r="F51" s="15" t="s">
        <v>21</v>
      </c>
      <c r="G51" s="16">
        <v>1210</v>
      </c>
      <c r="H51" s="17">
        <f t="shared" si="0"/>
        <v>0.13595505617977527</v>
      </c>
      <c r="J51" s="13">
        <v>2017</v>
      </c>
      <c r="K51" s="16">
        <v>410</v>
      </c>
      <c r="L51" s="16">
        <v>190</v>
      </c>
      <c r="M51" s="16">
        <f t="shared" si="1"/>
        <v>600</v>
      </c>
      <c r="O51" s="15" t="s">
        <v>34</v>
      </c>
      <c r="P51" s="16">
        <v>1080</v>
      </c>
    </row>
    <row r="52" spans="1:16">
      <c r="A52" s="15" t="s">
        <v>7</v>
      </c>
      <c r="B52" s="16">
        <v>8900</v>
      </c>
      <c r="C52" s="21">
        <v>0.14000000000000001</v>
      </c>
      <c r="E52" s="13">
        <v>3</v>
      </c>
      <c r="F52" s="15" t="s">
        <v>22</v>
      </c>
      <c r="G52" s="16">
        <v>980</v>
      </c>
      <c r="H52" s="17">
        <f t="shared" si="0"/>
        <v>0.1101123595505618</v>
      </c>
      <c r="J52" s="13">
        <v>2018</v>
      </c>
      <c r="K52" s="16">
        <v>580</v>
      </c>
      <c r="L52" s="16">
        <v>280</v>
      </c>
      <c r="M52" s="16">
        <f t="shared" si="1"/>
        <v>860</v>
      </c>
      <c r="O52" s="15" t="s">
        <v>35</v>
      </c>
      <c r="P52" s="16">
        <v>620</v>
      </c>
    </row>
    <row r="53" spans="1:16">
      <c r="A53" s="15" t="s">
        <v>8</v>
      </c>
      <c r="B53" s="22">
        <v>7.2</v>
      </c>
      <c r="C53" s="23">
        <v>0.03</v>
      </c>
      <c r="E53" s="13">
        <v>4</v>
      </c>
      <c r="F53" s="15" t="s">
        <v>23</v>
      </c>
      <c r="G53" s="16">
        <v>760</v>
      </c>
      <c r="H53" s="17">
        <f t="shared" si="0"/>
        <v>8.5393258426966295E-2</v>
      </c>
      <c r="J53" s="13">
        <v>2019</v>
      </c>
      <c r="K53" s="16">
        <v>730</v>
      </c>
      <c r="L53" s="16">
        <v>390</v>
      </c>
      <c r="M53" s="16">
        <f t="shared" si="1"/>
        <v>1120</v>
      </c>
      <c r="O53" s="15" t="s">
        <v>36</v>
      </c>
      <c r="P53" s="16">
        <v>420</v>
      </c>
    </row>
    <row r="54" spans="1:16">
      <c r="A54" s="15" t="s">
        <v>9</v>
      </c>
      <c r="B54" s="16">
        <v>120</v>
      </c>
      <c r="C54" s="21">
        <v>0.06</v>
      </c>
      <c r="E54" s="13">
        <v>5</v>
      </c>
      <c r="F54" s="15" t="s">
        <v>24</v>
      </c>
      <c r="G54" s="16">
        <v>680</v>
      </c>
      <c r="H54" s="17">
        <f t="shared" si="0"/>
        <v>7.6404494382022473E-2</v>
      </c>
      <c r="J54" s="13">
        <v>2020</v>
      </c>
      <c r="K54" s="16">
        <v>850</v>
      </c>
      <c r="L54" s="16">
        <v>480</v>
      </c>
      <c r="M54" s="16">
        <f t="shared" si="1"/>
        <v>1330</v>
      </c>
      <c r="O54" s="15" t="s">
        <v>37</v>
      </c>
      <c r="P54" s="16">
        <v>310</v>
      </c>
    </row>
    <row r="55" spans="1:16">
      <c r="E55" s="13">
        <v>6</v>
      </c>
      <c r="F55" s="15" t="s">
        <v>25</v>
      </c>
      <c r="G55" s="16">
        <v>520</v>
      </c>
      <c r="H55" s="17">
        <f t="shared" si="0"/>
        <v>5.8426966292134834E-2</v>
      </c>
      <c r="J55" s="13">
        <v>2021</v>
      </c>
      <c r="K55" s="16">
        <v>980</v>
      </c>
      <c r="L55" s="16">
        <v>610</v>
      </c>
      <c r="M55" s="16">
        <f t="shared" si="1"/>
        <v>1590</v>
      </c>
      <c r="O55" s="15" t="s">
        <v>38</v>
      </c>
      <c r="P55" s="16">
        <v>280</v>
      </c>
    </row>
    <row r="56" spans="1:16">
      <c r="E56" s="13">
        <v>7</v>
      </c>
      <c r="F56" s="15" t="s">
        <v>26</v>
      </c>
      <c r="G56" s="16">
        <v>460</v>
      </c>
      <c r="H56" s="17">
        <f t="shared" si="0"/>
        <v>5.1685393258426963E-2</v>
      </c>
      <c r="J56" s="13">
        <v>2022</v>
      </c>
      <c r="K56" s="16">
        <v>1150</v>
      </c>
      <c r="L56" s="16">
        <v>780</v>
      </c>
      <c r="M56" s="16">
        <f t="shared" si="1"/>
        <v>1930</v>
      </c>
      <c r="O56" s="15" t="s">
        <v>39</v>
      </c>
      <c r="P56" s="16">
        <v>250</v>
      </c>
    </row>
    <row r="57" spans="1:16">
      <c r="E57" s="13">
        <v>8</v>
      </c>
      <c r="F57" s="15" t="s">
        <v>27</v>
      </c>
      <c r="G57" s="16">
        <v>420</v>
      </c>
      <c r="H57" s="17">
        <f t="shared" si="0"/>
        <v>4.7191011235955059E-2</v>
      </c>
      <c r="J57" s="13">
        <v>2023</v>
      </c>
      <c r="K57" s="16">
        <v>1250</v>
      </c>
      <c r="L57" s="16">
        <v>850</v>
      </c>
      <c r="M57" s="16">
        <f t="shared" si="1"/>
        <v>2100</v>
      </c>
      <c r="O57" s="15" t="s">
        <v>40</v>
      </c>
      <c r="P57" s="16">
        <v>1500</v>
      </c>
    </row>
    <row r="58" spans="1:16">
      <c r="E58" s="13">
        <v>9</v>
      </c>
      <c r="F58" s="15" t="s">
        <v>28</v>
      </c>
      <c r="G58" s="16">
        <v>310</v>
      </c>
      <c r="H58" s="17">
        <f t="shared" si="0"/>
        <v>3.4831460674157301E-2</v>
      </c>
    </row>
    <row r="59" spans="1:16">
      <c r="E59" s="13">
        <v>10</v>
      </c>
      <c r="F59" s="15" t="s">
        <v>29</v>
      </c>
      <c r="G59" s="16">
        <v>280</v>
      </c>
      <c r="H59" s="17">
        <f t="shared" si="0"/>
        <v>3.1460674157303373E-2</v>
      </c>
    </row>
  </sheetData>
  <mergeCells count="5">
    <mergeCell ref="A1:G15"/>
    <mergeCell ref="A16:G30"/>
    <mergeCell ref="H16:N30"/>
    <mergeCell ref="H1:N15"/>
    <mergeCell ref="A31:G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 Dashboard 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2026-09-19T04:04:45Z</dcterms:created>
  <dcterms:modified xsi:type="dcterms:W3CDTF">2026-09-19T16:25:55Z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37b23f07325a4127b0533b119a4d4d99</vt:lpwstr>
  </property>
</Properties>
</file>